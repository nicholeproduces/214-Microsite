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3f65a642d0762be/Desktop/214_assets/docs/"/>
    </mc:Choice>
  </mc:AlternateContent>
  <xr:revisionPtr revIDLastSave="4" documentId="13_ncr:1_{F72724A3-ED4A-40AA-8B2E-61B0708B4D12}" xr6:coauthVersionLast="47" xr6:coauthVersionMax="47" xr10:uidLastSave="{CC2D392D-D654-4191-A9B5-45DF9C760BF6}"/>
  <bookViews>
    <workbookView xWindow="1080" yWindow="0" windowWidth="17784" windowHeight="12240" xr2:uid="{00000000-000D-0000-FFFF-FFFF00000000}"/>
  </bookViews>
  <sheets>
    <sheet name="Export" sheetId="1" r:id="rId1"/>
  </sheets>
  <definedNames>
    <definedName name="_xlnm._FilterDatabase" localSheetId="0" hidden="1">Export!$F$1:$F$21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</calcChain>
</file>

<file path=xl/sharedStrings.xml><?xml version="1.0" encoding="utf-8"?>
<sst xmlns="http://schemas.openxmlformats.org/spreadsheetml/2006/main" count="302" uniqueCount="178">
  <si>
    <t>Address</t>
  </si>
  <si>
    <t>Value</t>
  </si>
  <si>
    <t>Class</t>
  </si>
  <si>
    <t>Acres</t>
  </si>
  <si>
    <t>SqFt</t>
  </si>
  <si>
    <t>Price / Finished Square Foot</t>
  </si>
  <si>
    <t>Bathrooms</t>
  </si>
  <si>
    <t>Half Bath</t>
  </si>
  <si>
    <t>Year Built</t>
  </si>
  <si>
    <t>Condition</t>
  </si>
  <si>
    <t>Sale Price</t>
  </si>
  <si>
    <t>Sale Date</t>
  </si>
  <si>
    <t>Neighborhood</t>
  </si>
  <si>
    <t>Quality</t>
  </si>
  <si>
    <t>Value/SqFt</t>
  </si>
  <si>
    <t>14 005400090106</t>
  </si>
  <si>
    <t>214 SOUTH AVE SE</t>
  </si>
  <si>
    <t>$481,700</t>
  </si>
  <si>
    <t>R3</t>
  </si>
  <si>
    <t>1800</t>
  </si>
  <si>
    <t>$0</t>
  </si>
  <si>
    <t>2</t>
  </si>
  <si>
    <t>1</t>
  </si>
  <si>
    <t>2005</t>
  </si>
  <si>
    <t>GOOD</t>
  </si>
  <si>
    <t>2/23/2023</t>
  </si>
  <si>
    <t>14275</t>
  </si>
  <si>
    <t>AVERAGE +</t>
  </si>
  <si>
    <t>14 005400090254</t>
  </si>
  <si>
    <t>213 SOUTH AVE SE</t>
  </si>
  <si>
    <t>652800</t>
  </si>
  <si>
    <t>1920</t>
  </si>
  <si>
    <t>364.58</t>
  </si>
  <si>
    <t>3</t>
  </si>
  <si>
    <t>0</t>
  </si>
  <si>
    <t>2015</t>
  </si>
  <si>
    <t>700000</t>
  </si>
  <si>
    <t>8/21/2025</t>
  </si>
  <si>
    <t>GOOD +</t>
  </si>
  <si>
    <t>14 005400081576</t>
  </si>
  <si>
    <t>149 SOUTH AVE SE</t>
  </si>
  <si>
    <t>564400</t>
  </si>
  <si>
    <t>1694</t>
  </si>
  <si>
    <t>309.92</t>
  </si>
  <si>
    <t>2006</t>
  </si>
  <si>
    <t>VERY GOOD</t>
  </si>
  <si>
    <t>525000</t>
  </si>
  <si>
    <t>3/3/2025</t>
  </si>
  <si>
    <t>14 005400080032</t>
  </si>
  <si>
    <t>121 LITTLE ST SE</t>
  </si>
  <si>
    <t>440000</t>
  </si>
  <si>
    <t>1200</t>
  </si>
  <si>
    <t>348.33</t>
  </si>
  <si>
    <t>2002</t>
  </si>
  <si>
    <t>AVERAGE</t>
  </si>
  <si>
    <t>418000</t>
  </si>
  <si>
    <t>9/27/2024</t>
  </si>
  <si>
    <t>14 005400010450</t>
  </si>
  <si>
    <t>77 GLENN ST SE</t>
  </si>
  <si>
    <t>633900</t>
  </si>
  <si>
    <t>1209</t>
  </si>
  <si>
    <t>392.89</t>
  </si>
  <si>
    <t>1998</t>
  </si>
  <si>
    <t>475000</t>
  </si>
  <si>
    <t>5/14/2025</t>
  </si>
  <si>
    <t>14274</t>
  </si>
  <si>
    <t>VERY GOOD +</t>
  </si>
  <si>
    <t>14 005300100732</t>
  </si>
  <si>
    <t>603 TERRY ST SE</t>
  </si>
  <si>
    <t>689000</t>
  </si>
  <si>
    <t>1692</t>
  </si>
  <si>
    <t>355.79</t>
  </si>
  <si>
    <t>1997</t>
  </si>
  <si>
    <t>602000</t>
  </si>
  <si>
    <t>3/7/2025</t>
  </si>
  <si>
    <t>14 005300082344</t>
  </si>
  <si>
    <t>532 MARTIN ST SE</t>
  </si>
  <si>
    <t>600000</t>
  </si>
  <si>
    <t>2009</t>
  </si>
  <si>
    <t>298.66</t>
  </si>
  <si>
    <t>9/3/2024</t>
  </si>
  <si>
    <t>14 005300082328</t>
  </si>
  <si>
    <t>174 CRUMLEY ST SE</t>
  </si>
  <si>
    <t>544900</t>
  </si>
  <si>
    <t>1500</t>
  </si>
  <si>
    <t>400.0</t>
  </si>
  <si>
    <t>2001</t>
  </si>
  <si>
    <t>6/13/2025</t>
  </si>
  <si>
    <t>14 005300081411</t>
  </si>
  <si>
    <t>520 CONNALLY ST SE</t>
  </si>
  <si>
    <t>505000</t>
  </si>
  <si>
    <t>1540</t>
  </si>
  <si>
    <t>327.92</t>
  </si>
  <si>
    <t>3/19/2025</t>
  </si>
  <si>
    <t>14 005300080660</t>
  </si>
  <si>
    <t>141 RICHMOND ST SE</t>
  </si>
  <si>
    <t>615000</t>
  </si>
  <si>
    <t>1760</t>
  </si>
  <si>
    <t>349.43</t>
  </si>
  <si>
    <t>11/22/2024</t>
  </si>
  <si>
    <t>VERY GOOD -</t>
  </si>
  <si>
    <t>14 005300080603</t>
  </si>
  <si>
    <t>121 RICHMOND ST SE</t>
  </si>
  <si>
    <t>500300</t>
  </si>
  <si>
    <t>1713</t>
  </si>
  <si>
    <t>291.89</t>
  </si>
  <si>
    <t>500000</t>
  </si>
  <si>
    <t>6/10/2025</t>
  </si>
  <si>
    <t>14 005300073087</t>
  </si>
  <si>
    <t>93 HAMMOCK PL SE</t>
  </si>
  <si>
    <t>571200</t>
  </si>
  <si>
    <t>1744</t>
  </si>
  <si>
    <t>332.57</t>
  </si>
  <si>
    <t>2011</t>
  </si>
  <si>
    <t>580000</t>
  </si>
  <si>
    <t>6/2/2025</t>
  </si>
  <si>
    <t>14 005300071305</t>
  </si>
  <si>
    <t>521 MARTIN ST SE</t>
  </si>
  <si>
    <t>638000</t>
  </si>
  <si>
    <t>2132</t>
  </si>
  <si>
    <t>299.25</t>
  </si>
  <si>
    <t>3/6/2025</t>
  </si>
  <si>
    <t>14 004300040113</t>
  </si>
  <si>
    <t>733 OAKLAND AVE SE</t>
  </si>
  <si>
    <t>750000</t>
  </si>
  <si>
    <t>2016</t>
  </si>
  <si>
    <t>372.02</t>
  </si>
  <si>
    <t>2000</t>
  </si>
  <si>
    <t>9/19/2024</t>
  </si>
  <si>
    <t>14269</t>
  </si>
  <si>
    <t>14 004300020891</t>
  </si>
  <si>
    <t>696 OAKLAND AVE SE</t>
  </si>
  <si>
    <t>780000</t>
  </si>
  <si>
    <t>2406</t>
  </si>
  <si>
    <t>337.07</t>
  </si>
  <si>
    <t>4</t>
  </si>
  <si>
    <t>2014</t>
  </si>
  <si>
    <t>811000</t>
  </si>
  <si>
    <t>8/30/2024</t>
  </si>
  <si>
    <t>14 004300020495</t>
  </si>
  <si>
    <t>393 GEORGIA AVE SE</t>
  </si>
  <si>
    <t>802300</t>
  </si>
  <si>
    <t>2114</t>
  </si>
  <si>
    <t>379.85</t>
  </si>
  <si>
    <t>803000</t>
  </si>
  <si>
    <t>3/28/2025</t>
  </si>
  <si>
    <t>14 004200060773</t>
  </si>
  <si>
    <t>974 GRANT ST SE</t>
  </si>
  <si>
    <t>461700</t>
  </si>
  <si>
    <t>1221</t>
  </si>
  <si>
    <t>462.74</t>
  </si>
  <si>
    <t>1995</t>
  </si>
  <si>
    <t>565000</t>
  </si>
  <si>
    <t>5/29/2025</t>
  </si>
  <si>
    <t>14273</t>
  </si>
  <si>
    <t>14 002300050272</t>
  </si>
  <si>
    <t>627 MEAD ST SE</t>
  </si>
  <si>
    <t>571800</t>
  </si>
  <si>
    <t>2428</t>
  </si>
  <si>
    <t>330.52</t>
  </si>
  <si>
    <t>2013</t>
  </si>
  <si>
    <t>802500</t>
  </si>
  <si>
    <t>3/21/2025</t>
  </si>
  <si>
    <t>14266</t>
  </si>
  <si>
    <t>14 002300010599</t>
  </si>
  <si>
    <t>643 ROBINSON AVE SE</t>
  </si>
  <si>
    <t>811200</t>
  </si>
  <si>
    <t>2034</t>
  </si>
  <si>
    <t>341.69</t>
  </si>
  <si>
    <t>2004</t>
  </si>
  <si>
    <t>695000</t>
  </si>
  <si>
    <t>4/1/2025</t>
  </si>
  <si>
    <t>14261</t>
  </si>
  <si>
    <t>Parcel</t>
  </si>
  <si>
    <t>Bedrooms</t>
  </si>
  <si>
    <t>Garage</t>
  </si>
  <si>
    <t>N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</si>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</sst>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b/>
      <sz val="11"/>
      <name val="Calibri"/>
    </font>
    <font>
      <sz val="7"/>
      <color rgb="FF000000"/>
      <name val="Arial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center" wrapText="1"/>
    </xf>
    <xf numFmtId="0" fontId="3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"/>
  <sheetViews>
    <sheetView tabSelected="1" workbookViewId="0">
      <selection activeCell="A2" sqref="A2:R20"/>
    </sheetView>
  </sheetViews>
  <sheetFormatPr defaultRowHeight="14.4" x14ac:dyDescent="0.3"/>
  <cols>
    <col min="1" max="1" width="16" customWidth="1"/>
    <col min="2" max="2" width="20" customWidth="1"/>
    <col min="3" max="6" width="13" customWidth="1"/>
    <col min="7" max="7" width="25.109375" customWidth="1"/>
    <col min="8" max="13" width="13" customWidth="1"/>
    <col min="14" max="14" width="13.21875" customWidth="1"/>
    <col min="15" max="16" width="13" customWidth="1"/>
  </cols>
  <sheetData>
    <row r="1" spans="1:18" s="1" customFormat="1" x14ac:dyDescent="0.3">
      <c r="A1" s="1" t="s">
        <v>173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174</v>
      </c>
      <c r="R1" s="1" t="s">
        <v>175</v>
      </c>
    </row>
    <row r="2" spans="1:18" x14ac:dyDescent="0.3">
      <c r="A2" t="s">
        <v>48</v>
      </c>
      <c r="B2" t="s">
        <v>49</v>
      </c>
      <c r="C2" t="s">
        <v>50</v>
      </c>
      <c r="D2" t="s">
        <v>18</v>
      </c>
      <c r="E2">
        <v>5.5399999999999998E-2</v>
      </c>
      <c r="F2" t="s">
        <v>51</v>
      </c>
      <c r="G2" t="s">
        <v>52</v>
      </c>
      <c r="H2" t="s">
        <v>21</v>
      </c>
      <c r="I2" t="s">
        <v>22</v>
      </c>
      <c r="J2" t="s">
        <v>53</v>
      </c>
      <c r="K2" t="s">
        <v>54</v>
      </c>
      <c r="L2" t="s">
        <v>55</v>
      </c>
      <c r="M2" t="s">
        <v>56</v>
      </c>
      <c r="N2" t="s">
        <v>26</v>
      </c>
      <c r="O2" t="s">
        <v>24</v>
      </c>
      <c r="P2">
        <v>366.67</v>
      </c>
      <c r="Q2">
        <v>3</v>
      </c>
      <c r="R2" t="s">
        <v>176</v>
      </c>
    </row>
    <row r="3" spans="1:18" x14ac:dyDescent="0.3">
      <c r="A3" t="s">
        <v>146</v>
      </c>
      <c r="B3" t="s">
        <v>147</v>
      </c>
      <c r="C3" t="s">
        <v>148</v>
      </c>
      <c r="D3" t="s">
        <v>18</v>
      </c>
      <c r="E3">
        <v>9.1800000000000007E-2</v>
      </c>
      <c r="F3" t="s">
        <v>149</v>
      </c>
      <c r="G3" t="s">
        <v>150</v>
      </c>
      <c r="H3" t="s">
        <v>21</v>
      </c>
      <c r="I3" t="s">
        <v>34</v>
      </c>
      <c r="J3" t="s">
        <v>151</v>
      </c>
      <c r="K3" t="s">
        <v>45</v>
      </c>
      <c r="L3" t="s">
        <v>152</v>
      </c>
      <c r="M3" t="s">
        <v>153</v>
      </c>
      <c r="N3" t="s">
        <v>154</v>
      </c>
      <c r="O3" t="s">
        <v>38</v>
      </c>
      <c r="P3">
        <v>378.13</v>
      </c>
      <c r="Q3">
        <v>3</v>
      </c>
      <c r="R3" t="s">
        <v>176</v>
      </c>
    </row>
    <row r="4" spans="1:18" x14ac:dyDescent="0.3">
      <c r="A4" t="s">
        <v>81</v>
      </c>
      <c r="B4" t="s">
        <v>82</v>
      </c>
      <c r="C4" t="s">
        <v>83</v>
      </c>
      <c r="D4" t="s">
        <v>18</v>
      </c>
      <c r="E4">
        <v>6.4000000000000001E-2</v>
      </c>
      <c r="F4" t="s">
        <v>84</v>
      </c>
      <c r="G4" t="s">
        <v>85</v>
      </c>
      <c r="H4" t="s">
        <v>21</v>
      </c>
      <c r="I4" t="s">
        <v>22</v>
      </c>
      <c r="J4" t="s">
        <v>86</v>
      </c>
      <c r="K4" t="s">
        <v>45</v>
      </c>
      <c r="L4" t="s">
        <v>77</v>
      </c>
      <c r="M4" t="s">
        <v>87</v>
      </c>
      <c r="N4" t="s">
        <v>65</v>
      </c>
      <c r="O4" t="s">
        <v>38</v>
      </c>
      <c r="P4">
        <v>363.27</v>
      </c>
      <c r="Q4">
        <v>3</v>
      </c>
      <c r="R4" t="s">
        <v>176</v>
      </c>
    </row>
    <row r="5" spans="1:18" x14ac:dyDescent="0.3">
      <c r="A5" t="s">
        <v>88</v>
      </c>
      <c r="B5" t="s">
        <v>89</v>
      </c>
      <c r="C5" t="s">
        <v>90</v>
      </c>
      <c r="D5" t="s">
        <v>18</v>
      </c>
      <c r="E5">
        <v>7.2300000000000003E-2</v>
      </c>
      <c r="F5" t="s">
        <v>91</v>
      </c>
      <c r="G5" t="s">
        <v>92</v>
      </c>
      <c r="H5" t="s">
        <v>21</v>
      </c>
      <c r="I5" t="s">
        <v>22</v>
      </c>
      <c r="J5" t="s">
        <v>23</v>
      </c>
      <c r="K5" t="s">
        <v>24</v>
      </c>
      <c r="L5" t="s">
        <v>90</v>
      </c>
      <c r="M5" t="s">
        <v>93</v>
      </c>
      <c r="N5" t="s">
        <v>65</v>
      </c>
      <c r="O5" t="s">
        <v>38</v>
      </c>
      <c r="P5">
        <v>327.92</v>
      </c>
      <c r="Q5">
        <v>3</v>
      </c>
      <c r="R5" t="s">
        <v>177</v>
      </c>
    </row>
    <row r="6" spans="1:18" hidden="1" x14ac:dyDescent="0.3">
      <c r="A6" t="s">
        <v>57</v>
      </c>
      <c r="B6" t="s">
        <v>58</v>
      </c>
      <c r="C6" t="s">
        <v>59</v>
      </c>
      <c r="D6" t="s">
        <v>18</v>
      </c>
      <c r="E6">
        <v>8.8800000000000004E-2</v>
      </c>
      <c r="F6" t="s">
        <v>60</v>
      </c>
      <c r="G6" t="s">
        <v>61</v>
      </c>
      <c r="H6" t="s">
        <v>21</v>
      </c>
      <c r="I6" t="s">
        <v>34</v>
      </c>
      <c r="J6" t="s">
        <v>62</v>
      </c>
      <c r="K6" t="s">
        <v>45</v>
      </c>
      <c r="L6" t="s">
        <v>63</v>
      </c>
      <c r="M6" t="s">
        <v>64</v>
      </c>
      <c r="N6" t="s">
        <v>65</v>
      </c>
      <c r="O6" t="s">
        <v>66</v>
      </c>
      <c r="P6">
        <v>524.32000000000005</v>
      </c>
      <c r="Q6">
        <v>3</v>
      </c>
      <c r="R6" t="s">
        <v>176</v>
      </c>
    </row>
    <row r="7" spans="1:18" x14ac:dyDescent="0.3">
      <c r="A7" t="s">
        <v>67</v>
      </c>
      <c r="B7" t="s">
        <v>68</v>
      </c>
      <c r="C7" t="s">
        <v>69</v>
      </c>
      <c r="D7" t="s">
        <v>18</v>
      </c>
      <c r="E7">
        <v>8.6800000000000002E-2</v>
      </c>
      <c r="F7" t="s">
        <v>70</v>
      </c>
      <c r="G7" t="s">
        <v>71</v>
      </c>
      <c r="H7" t="s">
        <v>33</v>
      </c>
      <c r="I7" t="s">
        <v>34</v>
      </c>
      <c r="J7" t="s">
        <v>72</v>
      </c>
      <c r="K7" t="s">
        <v>45</v>
      </c>
      <c r="L7" t="s">
        <v>73</v>
      </c>
      <c r="M7" t="s">
        <v>74</v>
      </c>
      <c r="N7" t="s">
        <v>65</v>
      </c>
      <c r="O7" t="s">
        <v>66</v>
      </c>
      <c r="P7">
        <v>407.21</v>
      </c>
      <c r="Q7">
        <v>4</v>
      </c>
      <c r="R7" t="s">
        <v>176</v>
      </c>
    </row>
    <row r="8" spans="1:18" x14ac:dyDescent="0.3">
      <c r="A8" t="s">
        <v>39</v>
      </c>
      <c r="B8" t="s">
        <v>40</v>
      </c>
      <c r="C8" t="s">
        <v>41</v>
      </c>
      <c r="D8" t="s">
        <v>18</v>
      </c>
      <c r="E8">
        <v>8.72E-2</v>
      </c>
      <c r="F8" t="s">
        <v>42</v>
      </c>
      <c r="G8" t="s">
        <v>43</v>
      </c>
      <c r="H8" t="s">
        <v>21</v>
      </c>
      <c r="I8" t="s">
        <v>22</v>
      </c>
      <c r="J8" t="s">
        <v>44</v>
      </c>
      <c r="K8" t="s">
        <v>45</v>
      </c>
      <c r="L8" t="s">
        <v>46</v>
      </c>
      <c r="M8" t="s">
        <v>47</v>
      </c>
      <c r="N8" t="s">
        <v>26</v>
      </c>
      <c r="O8" t="s">
        <v>24</v>
      </c>
      <c r="P8">
        <v>333.18</v>
      </c>
      <c r="Q8">
        <v>3</v>
      </c>
      <c r="R8" t="s">
        <v>176</v>
      </c>
    </row>
    <row r="9" spans="1:18" x14ac:dyDescent="0.3">
      <c r="A9" t="s">
        <v>101</v>
      </c>
      <c r="B9" t="s">
        <v>102</v>
      </c>
      <c r="C9" t="s">
        <v>103</v>
      </c>
      <c r="D9" t="s">
        <v>18</v>
      </c>
      <c r="E9">
        <v>6.5600000000000006E-2</v>
      </c>
      <c r="F9" t="s">
        <v>104</v>
      </c>
      <c r="G9" t="s">
        <v>105</v>
      </c>
      <c r="H9" t="s">
        <v>21</v>
      </c>
      <c r="I9" t="s">
        <v>22</v>
      </c>
      <c r="J9" t="s">
        <v>23</v>
      </c>
      <c r="K9" t="s">
        <v>54</v>
      </c>
      <c r="L9" t="s">
        <v>106</v>
      </c>
      <c r="M9" t="s">
        <v>107</v>
      </c>
      <c r="N9" t="s">
        <v>65</v>
      </c>
      <c r="O9" t="s">
        <v>24</v>
      </c>
      <c r="P9">
        <v>292.06</v>
      </c>
      <c r="Q9">
        <v>3</v>
      </c>
      <c r="R9" t="s">
        <v>176</v>
      </c>
    </row>
    <row r="10" spans="1:18" x14ac:dyDescent="0.3">
      <c r="A10" t="s">
        <v>108</v>
      </c>
      <c r="B10" t="s">
        <v>109</v>
      </c>
      <c r="C10" t="s">
        <v>110</v>
      </c>
      <c r="D10" t="s">
        <v>18</v>
      </c>
      <c r="E10">
        <v>0.108</v>
      </c>
      <c r="F10" t="s">
        <v>111</v>
      </c>
      <c r="G10" t="s">
        <v>112</v>
      </c>
      <c r="H10" t="s">
        <v>21</v>
      </c>
      <c r="I10" t="s">
        <v>22</v>
      </c>
      <c r="J10" t="s">
        <v>113</v>
      </c>
      <c r="K10" t="s">
        <v>24</v>
      </c>
      <c r="L10" t="s">
        <v>114</v>
      </c>
      <c r="M10" t="s">
        <v>115</v>
      </c>
      <c r="N10" t="s">
        <v>65</v>
      </c>
      <c r="O10" t="s">
        <v>38</v>
      </c>
      <c r="P10">
        <v>327.52</v>
      </c>
      <c r="Q10">
        <v>3</v>
      </c>
      <c r="R10" t="s">
        <v>177</v>
      </c>
    </row>
    <row r="11" spans="1:18" x14ac:dyDescent="0.3">
      <c r="A11" t="s">
        <v>94</v>
      </c>
      <c r="B11" t="s">
        <v>95</v>
      </c>
      <c r="C11" t="s">
        <v>96</v>
      </c>
      <c r="D11" t="s">
        <v>18</v>
      </c>
      <c r="E11">
        <v>6.0299999999999999E-2</v>
      </c>
      <c r="F11" t="s">
        <v>97</v>
      </c>
      <c r="G11" t="s">
        <v>98</v>
      </c>
      <c r="H11" t="s">
        <v>21</v>
      </c>
      <c r="I11" t="s">
        <v>22</v>
      </c>
      <c r="J11" t="s">
        <v>53</v>
      </c>
      <c r="K11" t="s">
        <v>24</v>
      </c>
      <c r="L11" t="s">
        <v>96</v>
      </c>
      <c r="M11" t="s">
        <v>99</v>
      </c>
      <c r="N11" t="s">
        <v>65</v>
      </c>
      <c r="O11" t="s">
        <v>100</v>
      </c>
      <c r="P11">
        <v>368.47</v>
      </c>
      <c r="Q11">
        <v>3</v>
      </c>
      <c r="R11" t="s">
        <v>176</v>
      </c>
    </row>
    <row r="12" spans="1:18" x14ac:dyDescent="0.3">
      <c r="A12" s="4" t="s">
        <v>15</v>
      </c>
      <c r="B12" s="4" t="s">
        <v>16</v>
      </c>
      <c r="C12" s="4" t="s">
        <v>17</v>
      </c>
      <c r="D12" s="4" t="s">
        <v>18</v>
      </c>
      <c r="E12" s="4">
        <v>7.1300000000000002E-2</v>
      </c>
      <c r="F12" s="4" t="s">
        <v>19</v>
      </c>
      <c r="G12" s="4">
        <f>-G33</f>
        <v>0</v>
      </c>
      <c r="H12" s="4" t="s">
        <v>21</v>
      </c>
      <c r="I12" s="4" t="s">
        <v>22</v>
      </c>
      <c r="J12" s="4" t="s">
        <v>23</v>
      </c>
      <c r="K12" s="4" t="s">
        <v>24</v>
      </c>
      <c r="L12" s="4" t="s">
        <v>20</v>
      </c>
      <c r="M12" s="4" t="s">
        <v>25</v>
      </c>
      <c r="N12" s="4" t="s">
        <v>26</v>
      </c>
      <c r="O12" s="4" t="s">
        <v>27</v>
      </c>
      <c r="P12" s="4">
        <v>267.61</v>
      </c>
      <c r="Q12" s="4">
        <v>3</v>
      </c>
      <c r="R12" s="4" t="s">
        <v>176</v>
      </c>
    </row>
    <row r="13" spans="1:18" x14ac:dyDescent="0.3">
      <c r="A13" t="s">
        <v>28</v>
      </c>
      <c r="B13" t="s">
        <v>29</v>
      </c>
      <c r="C13" t="s">
        <v>30</v>
      </c>
      <c r="D13" t="s">
        <v>18</v>
      </c>
      <c r="E13">
        <v>0.104</v>
      </c>
      <c r="F13" t="s">
        <v>31</v>
      </c>
      <c r="G13" t="s">
        <v>32</v>
      </c>
      <c r="H13" t="s">
        <v>33</v>
      </c>
      <c r="I13" t="s">
        <v>34</v>
      </c>
      <c r="J13" t="s">
        <v>35</v>
      </c>
      <c r="K13" t="s">
        <v>24</v>
      </c>
      <c r="L13" t="s">
        <v>36</v>
      </c>
      <c r="M13" t="s">
        <v>37</v>
      </c>
      <c r="N13" t="s">
        <v>26</v>
      </c>
      <c r="O13" t="s">
        <v>38</v>
      </c>
      <c r="P13">
        <v>340</v>
      </c>
      <c r="Q13">
        <v>3</v>
      </c>
      <c r="R13" s="3" t="s">
        <v>177</v>
      </c>
    </row>
    <row r="14" spans="1:18" x14ac:dyDescent="0.3">
      <c r="A14" t="s">
        <v>75</v>
      </c>
      <c r="B14" t="s">
        <v>76</v>
      </c>
      <c r="C14" t="s">
        <v>77</v>
      </c>
      <c r="D14" t="s">
        <v>18</v>
      </c>
      <c r="E14">
        <v>8.6400000000000005E-2</v>
      </c>
      <c r="F14" t="s">
        <v>78</v>
      </c>
      <c r="G14" t="s">
        <v>79</v>
      </c>
      <c r="H14" t="s">
        <v>33</v>
      </c>
      <c r="I14" t="s">
        <v>34</v>
      </c>
      <c r="J14" t="s">
        <v>53</v>
      </c>
      <c r="K14" t="s">
        <v>24</v>
      </c>
      <c r="L14" t="s">
        <v>77</v>
      </c>
      <c r="M14" t="s">
        <v>80</v>
      </c>
      <c r="N14" t="s">
        <v>65</v>
      </c>
      <c r="O14" t="s">
        <v>38</v>
      </c>
      <c r="P14">
        <v>335.74</v>
      </c>
      <c r="Q14">
        <v>3</v>
      </c>
      <c r="R14" t="s">
        <v>177</v>
      </c>
    </row>
    <row r="15" spans="1:18" x14ac:dyDescent="0.3">
      <c r="A15" t="s">
        <v>122</v>
      </c>
      <c r="B15" t="s">
        <v>123</v>
      </c>
      <c r="C15" t="s">
        <v>124</v>
      </c>
      <c r="D15" t="s">
        <v>18</v>
      </c>
      <c r="E15">
        <v>7.5800000000000006E-2</v>
      </c>
      <c r="F15" t="s">
        <v>125</v>
      </c>
      <c r="G15" t="s">
        <v>126</v>
      </c>
      <c r="H15" t="s">
        <v>21</v>
      </c>
      <c r="I15" t="s">
        <v>22</v>
      </c>
      <c r="J15" t="s">
        <v>127</v>
      </c>
      <c r="K15" t="s">
        <v>45</v>
      </c>
      <c r="L15" t="s">
        <v>124</v>
      </c>
      <c r="M15" t="s">
        <v>128</v>
      </c>
      <c r="N15" t="s">
        <v>129</v>
      </c>
      <c r="O15" t="s">
        <v>38</v>
      </c>
      <c r="P15">
        <v>372.02</v>
      </c>
      <c r="Q15">
        <v>3</v>
      </c>
      <c r="R15" t="s">
        <v>176</v>
      </c>
    </row>
    <row r="16" spans="1:18" x14ac:dyDescent="0.3">
      <c r="A16" t="s">
        <v>164</v>
      </c>
      <c r="B16" t="s">
        <v>165</v>
      </c>
      <c r="C16" t="s">
        <v>166</v>
      </c>
      <c r="D16" t="s">
        <v>18</v>
      </c>
      <c r="E16">
        <v>9.9900000000000003E-2</v>
      </c>
      <c r="F16" t="s">
        <v>167</v>
      </c>
      <c r="G16" t="s">
        <v>168</v>
      </c>
      <c r="H16" t="s">
        <v>21</v>
      </c>
      <c r="I16" t="s">
        <v>22</v>
      </c>
      <c r="J16" t="s">
        <v>169</v>
      </c>
      <c r="K16" t="s">
        <v>45</v>
      </c>
      <c r="L16" t="s">
        <v>170</v>
      </c>
      <c r="M16" t="s">
        <v>171</v>
      </c>
      <c r="N16" t="s">
        <v>172</v>
      </c>
      <c r="O16" t="s">
        <v>66</v>
      </c>
      <c r="P16">
        <v>398.82</v>
      </c>
      <c r="Q16">
        <v>3</v>
      </c>
      <c r="R16" t="s">
        <v>176</v>
      </c>
    </row>
    <row r="17" spans="1:18" x14ac:dyDescent="0.3">
      <c r="A17" t="s">
        <v>139</v>
      </c>
      <c r="B17" t="s">
        <v>140</v>
      </c>
      <c r="C17" t="s">
        <v>141</v>
      </c>
      <c r="D17" t="s">
        <v>18</v>
      </c>
      <c r="E17">
        <v>0.09</v>
      </c>
      <c r="F17" t="s">
        <v>142</v>
      </c>
      <c r="G17" t="s">
        <v>143</v>
      </c>
      <c r="H17" t="s">
        <v>21</v>
      </c>
      <c r="I17" t="s">
        <v>22</v>
      </c>
      <c r="J17" t="s">
        <v>136</v>
      </c>
      <c r="K17" t="s">
        <v>54</v>
      </c>
      <c r="L17" t="s">
        <v>144</v>
      </c>
      <c r="M17" t="s">
        <v>145</v>
      </c>
      <c r="N17" t="s">
        <v>129</v>
      </c>
      <c r="O17" t="s">
        <v>38</v>
      </c>
      <c r="P17">
        <v>379.52</v>
      </c>
      <c r="Q17">
        <v>4</v>
      </c>
      <c r="R17" t="s">
        <v>176</v>
      </c>
    </row>
    <row r="18" spans="1:18" x14ac:dyDescent="0.3">
      <c r="A18" t="s">
        <v>116</v>
      </c>
      <c r="B18" t="s">
        <v>117</v>
      </c>
      <c r="C18" t="s">
        <v>118</v>
      </c>
      <c r="D18" t="s">
        <v>18</v>
      </c>
      <c r="E18">
        <v>7.4399999999999994E-2</v>
      </c>
      <c r="F18" t="s">
        <v>119</v>
      </c>
      <c r="G18" t="s">
        <v>120</v>
      </c>
      <c r="H18" t="s">
        <v>21</v>
      </c>
      <c r="I18" t="s">
        <v>22</v>
      </c>
      <c r="J18" t="s">
        <v>86</v>
      </c>
      <c r="K18" t="s">
        <v>24</v>
      </c>
      <c r="L18" t="s">
        <v>118</v>
      </c>
      <c r="M18" t="s">
        <v>121</v>
      </c>
      <c r="N18" t="s">
        <v>65</v>
      </c>
      <c r="O18" t="s">
        <v>38</v>
      </c>
      <c r="P18">
        <v>315.95</v>
      </c>
      <c r="Q18">
        <v>3</v>
      </c>
      <c r="R18" t="s">
        <v>176</v>
      </c>
    </row>
    <row r="19" spans="1:18" x14ac:dyDescent="0.3">
      <c r="A19" t="s">
        <v>130</v>
      </c>
      <c r="B19" t="s">
        <v>131</v>
      </c>
      <c r="C19" t="s">
        <v>132</v>
      </c>
      <c r="D19" t="s">
        <v>18</v>
      </c>
      <c r="E19">
        <v>9.3700000000000006E-2</v>
      </c>
      <c r="F19" t="s">
        <v>133</v>
      </c>
      <c r="G19" t="s">
        <v>134</v>
      </c>
      <c r="H19" t="s">
        <v>135</v>
      </c>
      <c r="I19" t="s">
        <v>34</v>
      </c>
      <c r="J19" t="s">
        <v>136</v>
      </c>
      <c r="K19" t="s">
        <v>24</v>
      </c>
      <c r="L19" t="s">
        <v>137</v>
      </c>
      <c r="M19" t="s">
        <v>138</v>
      </c>
      <c r="N19" t="s">
        <v>129</v>
      </c>
      <c r="O19" t="s">
        <v>100</v>
      </c>
      <c r="P19">
        <v>324.19</v>
      </c>
      <c r="Q19">
        <v>4</v>
      </c>
      <c r="R19" t="s">
        <v>176</v>
      </c>
    </row>
    <row r="20" spans="1:18" x14ac:dyDescent="0.3">
      <c r="A20" t="s">
        <v>155</v>
      </c>
      <c r="B20" t="s">
        <v>156</v>
      </c>
      <c r="C20" t="s">
        <v>157</v>
      </c>
      <c r="D20" t="s">
        <v>18</v>
      </c>
      <c r="E20">
        <v>0.08</v>
      </c>
      <c r="F20" t="s">
        <v>158</v>
      </c>
      <c r="G20" t="s">
        <v>159</v>
      </c>
      <c r="H20" t="s">
        <v>33</v>
      </c>
      <c r="I20" t="s">
        <v>34</v>
      </c>
      <c r="J20" t="s">
        <v>160</v>
      </c>
      <c r="K20" t="s">
        <v>24</v>
      </c>
      <c r="L20" t="s">
        <v>161</v>
      </c>
      <c r="M20" t="s">
        <v>162</v>
      </c>
      <c r="N20" t="s">
        <v>163</v>
      </c>
      <c r="O20" t="s">
        <v>24</v>
      </c>
      <c r="P20">
        <v>235.5</v>
      </c>
      <c r="Q20">
        <v>3</v>
      </c>
      <c r="R20" t="s">
        <v>176</v>
      </c>
    </row>
    <row r="21" spans="1:18" x14ac:dyDescent="0.3">
      <c r="A21" s="2"/>
      <c r="E21" s="2"/>
    </row>
  </sheetData>
  <autoFilter ref="F1:F21" xr:uid="{00000000-0001-0000-0000-000000000000}">
    <sortState xmlns:xlrd2="http://schemas.microsoft.com/office/spreadsheetml/2017/richdata2" ref="A2:R21">
      <sortCondition ref="F1:F2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Nichole Wleklinski</cp:lastModifiedBy>
  <dcterms:created xsi:type="dcterms:W3CDTF">2026-02-24T20:28:25Z</dcterms:created>
  <dcterms:modified xsi:type="dcterms:W3CDTF">2026-02-27T18:17:08Z</dcterms:modified>
</cp:coreProperties>
</file>